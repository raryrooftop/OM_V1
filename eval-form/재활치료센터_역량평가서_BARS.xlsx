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평가안내" sheetId="1" state="visible" r:id="rId3"/>
    <sheet name="② 공통역량" sheetId="2" state="visible" r:id="rId4"/>
    <sheet name="③ 직무역량" sheetId="3" state="visible" r:id="rId5"/>
    <sheet name="④ 리더십역량" sheetId="4" state="visible" r:id="rId6"/>
    <sheet name="⑤ 종합·개발계획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<sst xmlns="http://schemas.openxmlformats.org/spreadsheetml/2006/main" count="173" uniqueCount="146">
  <si>
    <r>
      <rPr>
        <b val="true"/>
        <sz val="16"/>
        <color rgb="FFFFFFFF"/>
        <rFont val="Noto Sans CJK SC"/>
        <family val="2"/>
      </rPr>
      <t xml:space="preserve">재활치료센터 역량평가서 </t>
    </r>
    <r>
      <rPr>
        <b val="true"/>
        <sz val="16"/>
        <color rgb="FFFFFFFF"/>
        <rFont val="맑은 고딕"/>
        <family val="0"/>
        <charset val="1"/>
      </rPr>
      <t xml:space="preserve">(BARS)  ·  </t>
    </r>
    <r>
      <rPr>
        <b val="true"/>
        <sz val="16"/>
        <color rgb="FFFFFFFF"/>
        <rFont val="Noto Sans CJK SC"/>
        <family val="2"/>
      </rPr>
      <t xml:space="preserve">작성</t>
    </r>
    <r>
      <rPr>
        <b val="true"/>
        <sz val="16"/>
        <color rgb="FFFFFFFF"/>
        <rFont val="맑은 고딕"/>
        <family val="0"/>
        <charset val="1"/>
      </rPr>
      <t xml:space="preserve">·</t>
    </r>
    <r>
      <rPr>
        <b val="true"/>
        <sz val="16"/>
        <color rgb="FFFFFFFF"/>
        <rFont val="Noto Sans CJK SC"/>
        <family val="2"/>
      </rPr>
      <t xml:space="preserve">운영 안내</t>
    </r>
  </si>
  <si>
    <r>
      <rPr>
        <sz val="9"/>
        <color rgb="FF595959"/>
        <rFont val="Noto Sans CJK SC"/>
        <family val="2"/>
      </rPr>
      <t xml:space="preserve">행위기준평정척도</t>
    </r>
    <r>
      <rPr>
        <sz val="9"/>
        <color rgb="FF595959"/>
        <rFont val="맑은 고딕"/>
        <family val="0"/>
        <charset val="1"/>
      </rPr>
      <t xml:space="preserve">(Behaviorally Anchored Rating Scale) </t>
    </r>
    <r>
      <rPr>
        <sz val="9"/>
        <color rgb="FF595959"/>
        <rFont val="Noto Sans CJK SC"/>
        <family val="2"/>
      </rPr>
      <t xml:space="preserve">기반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평가점수와 개발피드백 병행</t>
    </r>
  </si>
  <si>
    <r>
      <rPr>
        <b val="true"/>
        <sz val="11"/>
        <color rgb="FFFFFFFF"/>
        <rFont val="맑은 고딕"/>
        <family val="0"/>
        <charset val="1"/>
      </rPr>
      <t xml:space="preserve">1. </t>
    </r>
    <r>
      <rPr>
        <b val="true"/>
        <sz val="11"/>
        <color rgb="FFFFFFFF"/>
        <rFont val="Noto Sans CJK SC"/>
        <family val="2"/>
      </rPr>
      <t xml:space="preserve">평가 목적</t>
    </r>
  </si>
  <si>
    <t xml:space="preserve">총괄 평가</t>
  </si>
  <si>
    <r>
      <rPr>
        <sz val="10"/>
        <color rgb="FF000000"/>
        <rFont val="Noto Sans CJK SC"/>
        <family val="2"/>
      </rPr>
      <t xml:space="preserve">직급 승급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직책 보임 심사의 근거가 되는 공식 역량 점수를 산정한다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</si>
  <si>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형성 평가</t>
  </si>
  <si>
    <r>
      <rPr>
        <sz val="10"/>
        <color rgb="FF000000"/>
        <rFont val="Noto Sans CJK SC"/>
        <family val="2"/>
      </rPr>
      <t xml:space="preserve">강점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보완점을 구체적 행동 수준으로 짚어 코칭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교육에 활용한다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</si>
  <si>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병행 원칙</t>
  </si>
  <si>
    <r>
      <rPr>
        <sz val="10"/>
        <color rgb="FF000000"/>
        <rFont val="Noto Sans CJK SC"/>
        <family val="2"/>
      </rPr>
      <t xml:space="preserve">연중 개발용 코칭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점수 비연계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과 연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등급용 평가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점수 연계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를 시점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문서로 분리해 솔직한 피드백을 보호한다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</si>
  <si>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2. 5</t>
    </r>
    <r>
      <rPr>
        <b val="true"/>
        <sz val="11"/>
        <color rgb="FFFFFFFF"/>
        <rFont val="Noto Sans CJK SC"/>
        <family val="2"/>
      </rPr>
      <t xml:space="preserve">점 행동척도</t>
    </r>
    <r>
      <rPr>
        <b val="true"/>
        <sz val="11"/>
        <color rgb="FFFFFFFF"/>
        <rFont val="맑은 고딕"/>
        <family val="0"/>
        <charset val="1"/>
      </rPr>
      <t xml:space="preserve">(BARS)</t>
    </r>
    <r>
      <rPr>
        <b val="true"/>
        <sz val="11"/>
        <color rgb="FFFFFFFF"/>
        <rFont val="Noto Sans CJK SC"/>
        <family val="2"/>
      </rPr>
      <t xml:space="preserve">의 의미</t>
    </r>
  </si>
  <si>
    <t xml:space="preserve">점수</t>
  </si>
  <si>
    <t xml:space="preserve">등급</t>
  </si>
  <si>
    <t xml:space="preserve">의미</t>
  </si>
  <si>
    <t xml:space="preserve">5</t>
  </si>
  <si>
    <t xml:space="preserve">탁월</t>
  </si>
  <si>
    <r>
      <rPr>
        <sz val="10"/>
        <color rgb="FF000000"/>
        <rFont val="Noto Sans CJK SC"/>
        <family val="2"/>
      </rPr>
      <t xml:space="preserve">기대를 크게 상회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타의 모범이 되고 개선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확산을 주도</t>
    </r>
  </si>
  <si>
    <t xml:space="preserve">4</t>
  </si>
  <si>
    <t xml:space="preserve">우수</t>
  </si>
  <si>
    <r>
      <rPr>
        <sz val="10"/>
        <color rgb="FF000000"/>
        <rFont val="Noto Sans CJK SC"/>
        <family val="2"/>
      </rPr>
      <t xml:space="preserve">기대를 상회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안정적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일관되게 높은 수준 수행</t>
    </r>
  </si>
  <si>
    <t xml:space="preserve">3</t>
  </si>
  <si>
    <t xml:space="preserve">기대충족</t>
  </si>
  <si>
    <t xml:space="preserve">직급에 기대되는 표준 수준을 충족</t>
  </si>
  <si>
    <t xml:space="preserve">2</t>
  </si>
  <si>
    <t xml:space="preserve">개선필요</t>
  </si>
  <si>
    <r>
      <rPr>
        <sz val="10"/>
        <color rgb="FF000000"/>
        <rFont val="Noto Sans CJK SC"/>
        <family val="2"/>
      </rPr>
      <t xml:space="preserve">표준에 다소 못 미쳐 보완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지도가 필요</t>
    </r>
  </si>
  <si>
    <t xml:space="preserve">1</t>
  </si>
  <si>
    <t xml:space="preserve">미흡</t>
  </si>
  <si>
    <t xml:space="preserve">표준에 크게 못 미쳐 즉각적 개선이 필요</t>
  </si>
  <si>
    <r>
      <rPr>
        <b val="true"/>
        <sz val="11"/>
        <color rgb="FFFFFFFF"/>
        <rFont val="맑은 고딕"/>
        <family val="0"/>
        <charset val="1"/>
      </rPr>
      <t xml:space="preserve">3. </t>
    </r>
    <r>
      <rPr>
        <b val="true"/>
        <sz val="11"/>
        <color rgb="FFFFFFFF"/>
        <rFont val="Noto Sans CJK SC"/>
        <family val="2"/>
      </rPr>
      <t xml:space="preserve">트랙별 가중치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역량평가 기준 </t>
    </r>
    <r>
      <rPr>
        <b val="true"/>
        <sz val="11"/>
        <color rgb="FFFFFFFF"/>
        <rFont val="맑은 고딕"/>
        <family val="0"/>
        <charset val="1"/>
      </rPr>
      <t xml:space="preserve">· </t>
    </r>
    <r>
      <rPr>
        <b val="true"/>
        <sz val="11"/>
        <color rgb="FFFFFFFF"/>
        <rFont val="Noto Sans CJK SC"/>
        <family val="2"/>
      </rPr>
      <t xml:space="preserve">자동 적용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</si>
  <si>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트랙</t>
  </si>
  <si>
    <t xml:space="preserve">공통역량</t>
  </si>
  <si>
    <t xml:space="preserve">직무역량</t>
  </si>
  <si>
    <t xml:space="preserve">리더십역량</t>
  </si>
  <si>
    <t xml:space="preserve">합계</t>
  </si>
  <si>
    <r>
      <rPr>
        <sz val="9"/>
        <color rgb="FF000000"/>
        <rFont val="Noto Sans CJK SC"/>
        <family val="2"/>
      </rPr>
      <t xml:space="preserve">실무트랙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치료사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선임치료사</t>
    </r>
    <r>
      <rPr>
        <sz val="9"/>
        <color rgb="FF000000"/>
        <rFont val="맑은 고딕"/>
        <family val="0"/>
        <charset val="1"/>
      </rPr>
      <t xml:space="preserve">)</t>
    </r>
  </si>
  <si>
    <t xml:space="preserve">100%</t>
  </si>
  <si>
    <r>
      <rPr>
        <sz val="9"/>
        <color rgb="FF000000"/>
        <rFont val="Noto Sans CJK SC"/>
        <family val="2"/>
      </rPr>
      <t xml:space="preserve">전문가트랙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수석치료사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</si>
  <si>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관리트랙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부팀장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팀장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실장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센터장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</si>
  <si>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4. </t>
    </r>
    <r>
      <rPr>
        <b val="true"/>
        <sz val="11"/>
        <color rgb="FFFFFFFF"/>
        <rFont val="Noto Sans CJK SC"/>
        <family val="2"/>
      </rPr>
      <t xml:space="preserve">평가 운영</t>
    </r>
  </si>
  <si>
    <t xml:space="preserve">평가 주기</t>
  </si>
  <si>
    <r>
      <rPr>
        <sz val="10"/>
        <color rgb="FF000000"/>
        <rFont val="Noto Sans CJK SC"/>
        <family val="2"/>
      </rPr>
      <t xml:space="preserve">연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정기 역량평가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등급용</t>
    </r>
    <r>
      <rPr>
        <sz val="10"/>
        <color rgb="FF000000"/>
        <rFont val="맑은 고딕"/>
        <family val="0"/>
        <charset val="1"/>
      </rPr>
      <t xml:space="preserve">) + </t>
    </r>
    <r>
      <rPr>
        <sz val="10"/>
        <color rgb="FF000000"/>
        <rFont val="Noto Sans CJK SC"/>
        <family val="2"/>
      </rPr>
      <t xml:space="preserve">분기 개발 코칭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육성용</t>
    </r>
    <r>
      <rPr>
        <sz val="10"/>
        <color rgb="FF000000"/>
        <rFont val="맑은 고딕"/>
        <family val="0"/>
        <charset val="1"/>
      </rPr>
      <t xml:space="preserve">).</t>
    </r>
  </si>
  <si>
    <t xml:space="preserve">평가자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</si>
  <si>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단계는 자기평가 → 직속 상급자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직책자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평가의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원 구조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신뢰 축적 후 다면</t>
    </r>
    <r>
      <rPr>
        <sz val="10"/>
        <color rgb="FF000000"/>
        <rFont val="맑은 고딕"/>
        <family val="0"/>
        <charset val="1"/>
      </rPr>
      <t xml:space="preserve">(360) </t>
    </r>
    <r>
      <rPr>
        <sz val="10"/>
        <color rgb="FF000000"/>
        <rFont val="Noto Sans CJK SC"/>
        <family val="2"/>
      </rPr>
      <t xml:space="preserve">요소를 형성 목적에 한해 확대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</si>
  <si>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진행 순서</t>
  </si>
  <si>
    <r>
      <rPr>
        <sz val="10"/>
        <color rgb="FF000000"/>
        <rFont val="Noto Sans CJK SC"/>
        <family val="2"/>
      </rPr>
      <t xml:space="preserve">① 피평가자 자기평가 → ② 상급자 평가 → ③ 격차 확인 → ④ 면담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개발계획</t>
    </r>
    <r>
      <rPr>
        <sz val="10"/>
        <color rgb="FF000000"/>
        <rFont val="맑은 고딕"/>
        <family val="0"/>
        <charset val="1"/>
      </rPr>
      <t xml:space="preserve">(IDP) </t>
    </r>
    <r>
      <rPr>
        <sz val="10"/>
        <color rgb="FF000000"/>
        <rFont val="Noto Sans CJK SC"/>
        <family val="2"/>
      </rPr>
      <t xml:space="preserve">합의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</si>
  <si>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5. </t>
    </r>
    <r>
      <rPr>
        <b val="true"/>
        <sz val="11"/>
        <color rgb="FFFFFFFF"/>
        <rFont val="Noto Sans CJK SC"/>
        <family val="2"/>
      </rPr>
      <t xml:space="preserve">작성 요령</t>
    </r>
  </si>
  <si>
    <t xml:space="preserve">•</t>
  </si>
  <si>
    <r>
      <rPr>
        <sz val="10"/>
        <color rgb="FF000000"/>
        <rFont val="Noto Sans CJK SC"/>
        <family val="2"/>
      </rPr>
      <t xml:space="preserve">각 차원의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행동기준</t>
    </r>
    <r>
      <rPr>
        <sz val="10"/>
        <color rgb="FF000000"/>
        <rFont val="맑은 고딕"/>
        <family val="0"/>
        <charset val="1"/>
      </rPr>
      <t xml:space="preserve">(5→1)'</t>
    </r>
    <r>
      <rPr>
        <sz val="10"/>
        <color rgb="FF000000"/>
        <rFont val="Noto Sans CJK SC"/>
        <family val="2"/>
      </rPr>
      <t xml:space="preserve">을 읽고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피평가자의 실제 행동에 가장 부합하는 점수를 </t>
    </r>
    <r>
      <rPr>
        <sz val="10"/>
        <color rgb="FF000000"/>
        <rFont val="맑은 고딕"/>
        <family val="0"/>
        <charset val="1"/>
      </rPr>
      <t xml:space="preserve">1~5</t>
    </r>
    <r>
      <rPr>
        <sz val="10"/>
        <color rgb="FF000000"/>
        <rFont val="Noto Sans CJK SC"/>
        <family val="2"/>
      </rPr>
      <t xml:space="preserve">로 입력한다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</si>
  <si>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추론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인상이 아니라 관찰된 행동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사례를 근거로 평정하고</t>
    </r>
    <r>
      <rPr>
        <sz val="10"/>
        <color rgb="FF000000"/>
        <rFont val="맑은 고딕"/>
        <family val="0"/>
        <charset val="1"/>
      </rPr>
      <t xml:space="preserve">, '</t>
    </r>
    <r>
      <rPr>
        <sz val="10"/>
        <color rgb="FF000000"/>
        <rFont val="Noto Sans CJK SC"/>
        <family val="2"/>
      </rPr>
      <t xml:space="preserve">근거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메모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란에 구체적 사례를 적는다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</si>
  <si>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리더십역량 시트는 직책자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부팀장 이상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만 작성한다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비직책자는 공통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직무만 작성한다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</si>
  <si>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모든 점수 입력 후 </t>
    </r>
    <r>
      <rPr>
        <sz val="10"/>
        <color rgb="FF000000"/>
        <rFont val="맑은 고딕"/>
        <family val="0"/>
        <charset val="1"/>
      </rPr>
      <t xml:space="preserve">'④ </t>
    </r>
    <r>
      <rPr>
        <sz val="10"/>
        <color rgb="FF000000"/>
        <rFont val="Noto Sans CJK SC"/>
        <family val="2"/>
      </rPr>
      <t xml:space="preserve">종합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개발계획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시트에서 트랙을 선택하면 가중 종합점수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등급이 자동 산출된다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</si>
  <si>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맑은 고딕"/>
        <family val="0"/>
        <charset val="1"/>
      </rPr>
      <t xml:space="preserve">Ⅰ. </t>
    </r>
    <r>
      <rPr>
        <b val="true"/>
        <sz val="14"/>
        <color rgb="FFFFFFFF"/>
        <rFont val="Noto Sans CJK SC"/>
        <family val="2"/>
      </rPr>
      <t xml:space="preserve">공통역량 평가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전 직원 공통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</si>
  <si>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t xml:space="preserve">No</t>
  </si>
  <si>
    <t xml:space="preserve">평가차원</t>
  </si>
  <si>
    <t xml:space="preserve">정의</t>
  </si>
  <si>
    <r>
      <rPr>
        <b val="true"/>
        <sz val="10"/>
        <color rgb="FFFFFFFF"/>
        <rFont val="Noto Sans CJK SC"/>
        <family val="2"/>
      </rPr>
      <t xml:space="preserve">행동기준 </t>
    </r>
    <r>
      <rPr>
        <b val="true"/>
        <sz val="10"/>
        <color rgb="FFFFFFFF"/>
        <rFont val="맑은 고딕"/>
        <family val="0"/>
        <charset val="1"/>
      </rPr>
      <t xml:space="preserve">(5</t>
    </r>
    <r>
      <rPr>
        <b val="true"/>
        <sz val="10"/>
        <color rgb="FFFFFFFF"/>
        <rFont val="Noto Sans CJK SC"/>
        <family val="2"/>
      </rPr>
      <t xml:space="preserve">점 → </t>
    </r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</si>
  <si>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자기
평가</t>
  </si>
  <si>
    <t xml:space="preserve">평가자
평가</t>
  </si>
  <si>
    <t xml:space="preserve">격차</t>
  </si>
  <si>
    <r>
      <rPr>
        <b val="true"/>
        <sz val="10"/>
        <color rgb="FFFFFFFF"/>
        <rFont val="Noto Sans CJK SC"/>
        <family val="2"/>
      </rPr>
      <t xml:space="preserve">근거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메모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사례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</si>
  <si>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성실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직업윤리</t>
    </r>
  </si>
  <si>
    <r>
      <rPr>
        <sz val="9"/>
        <color rgb="FF000000"/>
        <rFont val="Noto Sans CJK SC"/>
        <family val="2"/>
      </rPr>
      <t xml:space="preserve">치료 성실 수행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환자 정보보호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근태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직업윤리 준수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</si>
  <si>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맡은 환자의 치료 시간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횟수를 빠짐없이 채우고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환자 정보와 진료내용을 철저히 지키며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비협조적이거나 까다로운 환자도 끝까지 책임지고 동료에게 본이 된다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 시간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횟수를 성실히 지키고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환자 정보보호와 동의 절차를 한결같이 지킨다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정해진 치료 일정과 기본 직업윤리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정보보호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환자 존중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를 지킨다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 누락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지각이나 정보 관리에서 가끔 주의가 필요하다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무단 치료 누락이나 환자 정보 부주의 등 기본이 반복적으로 지켜지지 않는다</t>
    </r>
  </si>
  <si>
    <t xml:space="preserve">환자중심 치료</t>
  </si>
  <si>
    <r>
      <rPr>
        <sz val="9"/>
        <color rgb="FF000000"/>
        <rFont val="Noto Sans CJK SC"/>
        <family val="2"/>
      </rPr>
      <t xml:space="preserve">환자의 회복 목표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생활여건을 고려해 치료에 반영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</si>
  <si>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환자의 회복 목표와 퇴원 후 생활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재택복귀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시설 등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을 환자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보호자와 함께 정하고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체력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집안 환경까지 고려해 치료를 맞춰 간다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환자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보호자의 바람과 생활여건을 파악해 치료에 반영한다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환자의 요구를 듣고 무리 없는 선에서 치료에 반영한다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정해진 프로그램대로만 진행해 환자 사정 반영이 부족하다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환자가 무엇을 원하는지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어떤 형편인지 거의 고려하지 않는다</t>
    </r>
  </si>
  <si>
    <t xml:space="preserve">의사소통</t>
  </si>
  <si>
    <r>
      <rPr>
        <sz val="9"/>
        <color rgb="FF000000"/>
        <rFont val="Noto Sans CJK SC"/>
        <family val="2"/>
      </rPr>
      <t xml:space="preserve">환자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동료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타 직종과의 원활한 소통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</si>
  <si>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환자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보호자에게 회복 정도와 주의사항을 알아듣기 쉽게 설명하고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의사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간호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타 치료실과도 환자 상태를 막힘없이 주고받는다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환자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보호자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동료와 필요한 내용을 분명하고 정중하게 주고받는다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업무에 필요한 의사소통을 무리 없이 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설명이 불분명하거나 인계가 부실해 오해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재확인이 잦다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의사소통 문제로 환자 혼선이나 업무 차질이 반복된다</t>
    </r>
  </si>
  <si>
    <r>
      <rPr>
        <b val="true"/>
        <sz val="10"/>
        <color rgb="FF000000"/>
        <rFont val="Noto Sans CJK SC"/>
        <family val="2"/>
      </rPr>
      <t xml:space="preserve">협업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팀워크</t>
    </r>
  </si>
  <si>
    <r>
      <rPr>
        <sz val="9"/>
        <color rgb="FF000000"/>
        <rFont val="Noto Sans CJK SC"/>
        <family val="2"/>
      </rPr>
      <t xml:space="preserve">다학제 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치료실 운영에 협력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</si>
  <si>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다학제 팀회의에서 환자 정보를 적극 공유하고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바쁜 동료의 환자를 먼저 챙기며 치료실 분위기를 끌어올린다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팀회의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인계에 성실히 참여하고 동료와 잘 협력한다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맡은 일을 하고 요청하면 동료를 돕는다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협조가 수동적이거나 인계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정보 공유가 늦을 때가 있다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비협조적이어서 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치료실 운영에 부담을 준다</t>
    </r>
  </si>
  <si>
    <t xml:space="preserve">평  균</t>
  </si>
  <si>
    <r>
      <rPr>
        <b val="true"/>
        <sz val="14"/>
        <color rgb="FFFFFFFF"/>
        <rFont val="맑은 고딕"/>
        <family val="0"/>
        <charset val="1"/>
      </rPr>
      <t xml:space="preserve">Ⅱ. </t>
    </r>
    <r>
      <rPr>
        <b val="true"/>
        <sz val="14"/>
        <color rgb="FFFFFFFF"/>
        <rFont val="Noto Sans CJK SC"/>
        <family val="2"/>
      </rPr>
      <t xml:space="preserve">직무역량 평가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물리</t>
    </r>
    <r>
      <rPr>
        <b val="true"/>
        <sz val="14"/>
        <color rgb="FFFFFFFF"/>
        <rFont val="맑은 고딕"/>
        <family val="0"/>
        <charset val="1"/>
      </rPr>
      <t xml:space="preserve">·</t>
    </r>
    <r>
      <rPr>
        <b val="true"/>
        <sz val="14"/>
        <color rgb="FFFFFFFF"/>
        <rFont val="Noto Sans CJK SC"/>
        <family val="2"/>
      </rPr>
      <t xml:space="preserve">작업</t>
    </r>
    <r>
      <rPr>
        <b val="true"/>
        <sz val="14"/>
        <color rgb="FFFFFFFF"/>
        <rFont val="맑은 고딕"/>
        <family val="0"/>
        <charset val="1"/>
      </rPr>
      <t xml:space="preserve">·</t>
    </r>
    <r>
      <rPr>
        <b val="true"/>
        <sz val="14"/>
        <color rgb="FFFFFFFF"/>
        <rFont val="Noto Sans CJK SC"/>
        <family val="2"/>
      </rPr>
      <t xml:space="preserve">언어치료 공통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</si>
  <si>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sz val="9"/>
        <color rgb="FFC00000"/>
        <rFont val="Noto Sans CJK SC"/>
        <family val="2"/>
      </rPr>
      <t xml:space="preserve">※ 직종 특화 항목</t>
    </r>
    <r>
      <rPr>
        <sz val="9"/>
        <color rgb="FFC00000"/>
        <rFont val="맑은 고딕"/>
        <family val="0"/>
        <charset val="1"/>
      </rPr>
      <t xml:space="preserve">(PT: </t>
    </r>
    <r>
      <rPr>
        <sz val="9"/>
        <color rgb="FFC00000"/>
        <rFont val="Noto Sans CJK SC"/>
        <family val="2"/>
      </rPr>
      <t xml:space="preserve">도수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이동 </t>
    </r>
    <r>
      <rPr>
        <sz val="9"/>
        <color rgb="FFC00000"/>
        <rFont val="맑은 고딕"/>
        <family val="0"/>
        <charset val="1"/>
      </rPr>
      <t xml:space="preserve">/ OT: ADL·</t>
    </r>
    <r>
      <rPr>
        <sz val="9"/>
        <color rgb="FFC00000"/>
        <rFont val="Noto Sans CJK SC"/>
        <family val="2"/>
      </rPr>
      <t xml:space="preserve">인지 </t>
    </r>
    <r>
      <rPr>
        <sz val="9"/>
        <color rgb="FFC00000"/>
        <rFont val="맑은 고딕"/>
        <family val="0"/>
        <charset val="1"/>
      </rPr>
      <t xml:space="preserve">/ ST: </t>
    </r>
    <r>
      <rPr>
        <sz val="9"/>
        <color rgb="FFC00000"/>
        <rFont val="Noto Sans CJK SC"/>
        <family val="2"/>
      </rPr>
      <t xml:space="preserve">의사소통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연하</t>
    </r>
    <r>
      <rPr>
        <sz val="9"/>
        <color rgb="FFC00000"/>
        <rFont val="맑은 고딕"/>
        <family val="0"/>
        <charset val="1"/>
      </rPr>
      <t xml:space="preserve">)</t>
    </r>
    <r>
      <rPr>
        <sz val="9"/>
        <color rgb="FFC00000"/>
        <rFont val="Noto Sans CJK SC"/>
        <family val="2"/>
      </rPr>
      <t xml:space="preserve">은 해당 차원의 </t>
    </r>
    <r>
      <rPr>
        <sz val="9"/>
        <color rgb="FFC00000"/>
        <rFont val="맑은 고딕"/>
        <family val="0"/>
        <charset val="1"/>
      </rPr>
      <t xml:space="preserve">'</t>
    </r>
    <r>
      <rPr>
        <sz val="9"/>
        <color rgb="FFC00000"/>
        <rFont val="Noto Sans CJK SC"/>
        <family val="2"/>
      </rPr>
      <t xml:space="preserve">근거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메모</t>
    </r>
    <r>
      <rPr>
        <sz val="9"/>
        <color rgb="FFC00000"/>
        <rFont val="맑은 고딕"/>
        <family val="0"/>
        <charset val="1"/>
      </rPr>
      <t xml:space="preserve">'</t>
    </r>
    <r>
      <rPr>
        <sz val="9"/>
        <color rgb="FFC00000"/>
        <rFont val="Noto Sans CJK SC"/>
        <family val="2"/>
      </rPr>
      <t xml:space="preserve">에 직종 맥락으로 기재</t>
    </r>
  </si>
  <si>
    <r>
      <rPr>
        <b val="true"/>
        <sz val="10"/>
        <color rgb="FF000000"/>
        <rFont val="Noto Sans CJK SC"/>
        <family val="2"/>
      </rPr>
      <t xml:space="preserve">환자 평가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기능검사</t>
    </r>
  </si>
  <si>
    <r>
      <rPr>
        <sz val="9"/>
        <color rgb="FF000000"/>
        <rFont val="맑은 고딕"/>
        <family val="0"/>
        <charset val="1"/>
      </rPr>
      <t xml:space="preserve">FIM·K-MBI </t>
    </r>
    <r>
      <rPr>
        <sz val="9"/>
        <color rgb="FF000000"/>
        <rFont val="Noto Sans CJK SC"/>
        <family val="2"/>
      </rPr>
      <t xml:space="preserve">등 기능평가와 </t>
    </r>
    <r>
      <rPr>
        <sz val="9"/>
        <color rgb="FF000000"/>
        <rFont val="맑은 고딕"/>
        <family val="0"/>
        <charset val="1"/>
      </rPr>
      <t xml:space="preserve">MMT·ROM </t>
    </r>
    <r>
      <rPr>
        <sz val="9"/>
        <color rgb="FF000000"/>
        <rFont val="Noto Sans CJK SC"/>
        <family val="2"/>
      </rPr>
      <t xml:space="preserve">등 검사 시행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해석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</si>
  <si>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FIM·K-MBI </t>
    </r>
    <r>
      <rPr>
        <sz val="9"/>
        <color rgb="FF000000"/>
        <rFont val="Noto Sans CJK SC"/>
        <family val="2"/>
      </rPr>
      <t xml:space="preserve">등 기능평가와 </t>
    </r>
    <r>
      <rPr>
        <sz val="9"/>
        <color rgb="FF000000"/>
        <rFont val="맑은 고딕"/>
        <family val="0"/>
        <charset val="1"/>
      </rPr>
      <t xml:space="preserve">MMT·ROM </t>
    </r>
    <r>
      <rPr>
        <sz val="9"/>
        <color rgb="FF000000"/>
        <rFont val="Noto Sans CJK SC"/>
        <family val="2"/>
      </rPr>
      <t xml:space="preserve">같은 검사를 정확히 시행하고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상태가 복잡한 환자도 결과를 종합해 핵심 문제를 정확히 짚어낸다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기능평가와 도수검사를 정확히 시행하고 결과를 적절히 해석한다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정해진 평가도구를 절차대로 시행하고 기본 해석을 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평가 시행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해석에 오류가 있어 선임의 확인이 필요하다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평가가 부정확해 재검사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지도가 자주 필요하다</t>
    </r>
  </si>
  <si>
    <r>
      <rPr>
        <b val="true"/>
        <sz val="10"/>
        <color rgb="FF000000"/>
        <rFont val="Noto Sans CJK SC"/>
        <family val="2"/>
      </rPr>
      <t xml:space="preserve">치료계획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목표설정</t>
    </r>
  </si>
  <si>
    <r>
      <rPr>
        <sz val="9"/>
        <color rgb="FF000000"/>
        <rFont val="Noto Sans CJK SC"/>
        <family val="2"/>
      </rPr>
      <t xml:space="preserve">평가에 근거한 단기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장기 목표와 치료계획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수정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</si>
  <si>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평가 결과와 환자 회복 목표를 바탕으로 현실적인 단기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장기 목표와 치료계획을 세우고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회복 속도에 맞춰 계획을 능동적으로 고치며 그 이유를 설명한다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평가에 근거해 목표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치료계획을 세우고 경과에 따라 조정한다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표준 프로토콜에 따라 치료계획을 세운다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계획이 형식적이고 경과 반영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수정이 늦다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평가와 치료계획이 따로 놀아 목표가 불분명하다</t>
    </r>
  </si>
  <si>
    <r>
      <rPr>
        <b val="true"/>
        <sz val="10"/>
        <color rgb="FF000000"/>
        <rFont val="Noto Sans CJK SC"/>
        <family val="2"/>
      </rPr>
      <t xml:space="preserve">치료 수행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술기</t>
    </r>
  </si>
  <si>
    <r>
      <rPr>
        <sz val="9"/>
        <color rgb="FF000000"/>
        <rFont val="Noto Sans CJK SC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정확한 치료 수행과 환자 반응 대응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</si>
  <si>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치료를 안전하고 정확하게 진행하면서 환자 반응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통증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혈압 등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에 맞춰 그때그때 강도를 조절하고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까다로운 케이스도 능숙히 다룬다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치료를 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정확하게 수행하고 환자 반응에 잘 대응한다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표준 치료기법을 안전하게 수행한다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 수행이 미숙해 지도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보완이 필요하다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 중 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정확성 문제가 반복된다</t>
    </r>
  </si>
  <si>
    <r>
      <rPr>
        <b val="true"/>
        <sz val="10"/>
        <color rgb="FF000000"/>
        <rFont val="Noto Sans CJK SC"/>
        <family val="2"/>
      </rPr>
      <t xml:space="preserve">환자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보호자 교육</t>
    </r>
  </si>
  <si>
    <r>
      <rPr>
        <sz val="9"/>
        <color rgb="FF000000"/>
        <rFont val="Noto Sans CJK SC"/>
        <family val="2"/>
      </rPr>
      <t xml:space="preserve">자가운동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가정 내 케어 교육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재택복귀 대비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</si>
  <si>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환자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보호자가 알아듣기 쉽게 자가운동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주의사항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집에서의 케어 방법을 가르치고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직접 해 보게 하며 퇴원 후에도 이어가도록 이끈다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자가운동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주의사항을 환자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보호자가 이해하도록 분명히 교육한다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필요한 교육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설명을 정확히 제공한다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설명이 부족하거나 어려워 환자가 따라 하기 힘들다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교육이 부실해 자가관리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보호자 케어가 잘 되지 않는다</t>
    </r>
  </si>
  <si>
    <t xml:space="preserve">환자안전</t>
  </si>
  <si>
    <r>
      <rPr>
        <sz val="9"/>
        <color rgb="FF000000"/>
        <rFont val="Noto Sans CJK SC"/>
        <family val="2"/>
      </rPr>
      <t xml:space="preserve">낙상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흡인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욕창 등 위험 확인과 이상징후 대응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</si>
  <si>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 전 환자 상태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금기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낙상위험을 스스로 확인하고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이상징후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혈압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통증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어지럼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흡인 등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를 빨리 알아채 바로 중단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보고하며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재발을 막을 방법까지 제안한다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금기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위험요인을 확인하고 이상징후가 보이면 즉시 중단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낙상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감염 등 기본 안전수칙을 지키고 분명한 이상징후는 보고한다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안전수칙은 대체로 지키나 사전 위험 확인을 자주 빠뜨린다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안전수칙을 자주 놓치거나 이상징후를 챙기지 못한다</t>
    </r>
  </si>
  <si>
    <r>
      <rPr>
        <b val="true"/>
        <sz val="10"/>
        <color rgb="FF000000"/>
        <rFont val="Noto Sans CJK SC"/>
        <family val="2"/>
      </rPr>
      <t xml:space="preserve">치료기록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청구 연계</t>
    </r>
  </si>
  <si>
    <r>
      <rPr>
        <sz val="9"/>
        <color rgb="FF000000"/>
        <rFont val="Noto Sans CJK SC"/>
        <family val="2"/>
      </rPr>
      <t xml:space="preserve">전자차트 당일 기록과 상병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치료내역 정확 기재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</si>
  <si>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 기록을 그날그날 정확히 남기고 상병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치료내역을 규정대로 기재해 청구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적정성평가에 문제가 없게 하며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동료 기록까지 점검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보완해 준다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 기록을 제때 정확히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규정에 맞게 작성한다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규정에 따라 필요한 기록을 작성한다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기록이 밀리거나 누락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오기가 종종 있다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기록 미비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지연이 반복돼 청구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평가에 지장을 준다</t>
    </r>
  </si>
  <si>
    <r>
      <rPr>
        <b val="true"/>
        <sz val="10"/>
        <color rgb="FF000000"/>
        <rFont val="Noto Sans CJK SC"/>
        <family val="2"/>
      </rPr>
      <t xml:space="preserve">자기개발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전문성</t>
    </r>
  </si>
  <si>
    <r>
      <rPr>
        <sz val="9"/>
        <color rgb="FF000000"/>
        <rFont val="Noto Sans CJK SC"/>
        <family val="2"/>
      </rPr>
      <t xml:space="preserve">보수교육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새 기법 습득과 사례 공유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</si>
  <si>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새로운 치료기법과 최신 지견을 익혀 치료에 적용하고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사례를 정리해 동료와 나누며 치료실 수준을 함께 끌어올린다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보수교육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자료를 치료에 반영하며 꾸준히 공부한다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필수 보수교육을 이수하고 기본 실력을 유지한다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공부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자기개발이 수동적이고 새 지견 반영이 더디다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자기개발 노력이 거의 없다</t>
    </r>
  </si>
  <si>
    <r>
      <rPr>
        <b val="true"/>
        <sz val="14"/>
        <color rgb="FFFFFFFF"/>
        <rFont val="맑은 고딕"/>
        <family val="0"/>
        <charset val="1"/>
      </rPr>
      <t xml:space="preserve">Ⅲ. </t>
    </r>
    <r>
      <rPr>
        <b val="true"/>
        <sz val="14"/>
        <color rgb="FFFFFFFF"/>
        <rFont val="Noto Sans CJK SC"/>
        <family val="2"/>
      </rPr>
      <t xml:space="preserve">리더십역량 평가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직책자 전용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</si>
  <si>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sz val="9"/>
        <color rgb="FFC00000"/>
        <rFont val="Noto Sans CJK SC"/>
        <family val="2"/>
      </rPr>
      <t xml:space="preserve">※ 직책자</t>
    </r>
    <r>
      <rPr>
        <sz val="9"/>
        <color rgb="FFC00000"/>
        <rFont val="맑은 고딕"/>
        <family val="0"/>
        <charset val="1"/>
      </rPr>
      <t xml:space="preserve">(</t>
    </r>
    <r>
      <rPr>
        <sz val="9"/>
        <color rgb="FFC00000"/>
        <rFont val="Noto Sans CJK SC"/>
        <family val="2"/>
      </rPr>
      <t xml:space="preserve">부팀장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팀장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실장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센터장</t>
    </r>
    <r>
      <rPr>
        <sz val="9"/>
        <color rgb="FFC00000"/>
        <rFont val="맑은 고딕"/>
        <family val="0"/>
        <charset val="1"/>
      </rPr>
      <t xml:space="preserve">)</t>
    </r>
    <r>
      <rPr>
        <sz val="9"/>
        <color rgb="FFC00000"/>
        <rFont val="Noto Sans CJK SC"/>
        <family val="2"/>
      </rPr>
      <t xml:space="preserve">만 작성</t>
    </r>
    <r>
      <rPr>
        <sz val="9"/>
        <color rgb="FFC00000"/>
        <rFont val="맑은 고딕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비직책자는 본 시트를 작성하지 않음</t>
    </r>
  </si>
  <si>
    <r>
      <rPr>
        <b val="true"/>
        <sz val="10"/>
        <color rgb="FF000000"/>
        <rFont val="Noto Sans CJK SC"/>
        <family val="2"/>
      </rPr>
      <t xml:space="preserve">팀원 코칭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육성</t>
    </r>
  </si>
  <si>
    <t xml:space="preserve">치료사 지도와 성장 지원</t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</si>
  <si>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치료사 한 명 한 명의 강점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부족한 점을 파악해 성장 방향을 잡아 주고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평소 치료 장면을 보며 구체적으로 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지도하며 교육 기회를 먼저 연결해 준다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정기적으로 피드백하고 팀원의 교육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성장 기회를 적극 챙긴다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요청하면 피드백을 주고 필요한 교육을 안내한다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지시는 하지만 일을 맡기길 꺼리고 후배 지도가 드물다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팀원 지도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피드백을 거의 하지 않는다</t>
    </r>
  </si>
  <si>
    <r>
      <rPr>
        <b val="true"/>
        <sz val="10"/>
        <color rgb="FF000000"/>
        <rFont val="Noto Sans CJK SC"/>
        <family val="2"/>
      </rPr>
      <t xml:space="preserve">성과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업무관리</t>
    </r>
  </si>
  <si>
    <r>
      <rPr>
        <sz val="9"/>
        <color rgb="FF000000"/>
        <rFont val="Noto Sans CJK SC"/>
        <family val="2"/>
      </rPr>
      <t xml:space="preserve">환자 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치료 일정과 실적 관리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</si>
  <si>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팀 목표와 환자 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치료 일정을 명확히 잡고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치료 실적과 진행 상황을 수시로 챙기며 처지는 부분을 빨리 잡아 개선한다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팀 목표를 세우고 실적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진행을 정기적으로 점검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정해진 목표에 따라 팀 업무를 관리한다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목표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기준이 모호하거나 점검이 들쭉날쭉하다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업무관리가 되지 않아 팀 운영이 방치된다</t>
    </r>
  </si>
  <si>
    <r>
      <rPr>
        <b val="true"/>
        <sz val="10"/>
        <color rgb="FF000000"/>
        <rFont val="Noto Sans CJK SC"/>
        <family val="2"/>
      </rPr>
      <t xml:space="preserve">갈등관리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조직운영</t>
    </r>
  </si>
  <si>
    <t xml:space="preserve">갈등의 공정한 조정과 치료실 운영</t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</si>
  <si>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팀원 간 갈등이나 타 치료실과의 마찰을 원인까지 파고들어 공정하게 풀고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다시 생기지 않도록 규칙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분위기를 잡는다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팀 안의 갈등을 공정하게 다루고 원만히 조정한다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갈등이 생기면 개입해 기본적으로 정리한다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개입이 늦거나 한쪽에 치우쳐 뒷말이 남는다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갈등을 방치하거나 더 키운다</t>
    </r>
  </si>
  <si>
    <r>
      <rPr>
        <b val="true"/>
        <sz val="10"/>
        <color rgb="FF000000"/>
        <rFont val="Noto Sans CJK SC"/>
        <family val="2"/>
      </rPr>
      <t xml:space="preserve">의사결정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문제해결</t>
    </r>
  </si>
  <si>
    <t xml:space="preserve">현장 상황에 맞는 시의적절한 판단</t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</si>
  <si>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현장 상황과 데이터를 종합해 제때 판단하고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애매한 상황에서도 책임지고 결정하며 결과를 되짚어 보완한다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필요한 정보를 모아 합리적으로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제때 결정한다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정해진 범위 안에서 필요한 결정을 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결정을 미루거나 근거가 부족한 판단을 할 때가 있다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결정을 피하거나 잘못된 판단으로 업무에 지장을 준다</t>
    </r>
  </si>
  <si>
    <r>
      <rPr>
        <b val="true"/>
        <sz val="10"/>
        <color rgb="FF000000"/>
        <rFont val="Noto Sans CJK SC"/>
        <family val="2"/>
      </rPr>
      <t xml:space="preserve">자원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운영관리</t>
    </r>
  </si>
  <si>
    <r>
      <rPr>
        <sz val="9"/>
        <color rgb="FF000000"/>
        <rFont val="Noto Sans CJK SC"/>
        <family val="2"/>
      </rPr>
      <t xml:space="preserve">인력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치료실 일정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장비의 효율적 운영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</si>
  <si>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치료사 인력과 치료실 일정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장비를 효율적으로 운영해 환자 대기와 치료 흐름을 원활히 하고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개선거리를 먼저 찾아 손본다
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인력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일정을 효율적으로 운영하고 자원을 적절히 배분한다
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주어진 자원으로 정상 운영을 유지한다
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자원 배분이 비효율적이거나 운영 차질이 잦다
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운영관리 미흡으로 치료실에 지장이 반복된다</t>
    </r>
  </si>
  <si>
    <t xml:space="preserve">역량평가 종합 결과 및 개발계획서</t>
  </si>
  <si>
    <r>
      <rPr>
        <b val="true"/>
        <sz val="11"/>
        <color rgb="FFFFFFFF"/>
        <rFont val="맑은 고딕"/>
        <family val="0"/>
        <charset val="1"/>
      </rPr>
      <t xml:space="preserve">1. </t>
    </r>
    <r>
      <rPr>
        <b val="true"/>
        <sz val="11"/>
        <color rgb="FFFFFFFF"/>
        <rFont val="Noto Sans CJK SC"/>
        <family val="2"/>
      </rPr>
      <t xml:space="preserve">기본 정보</t>
    </r>
  </si>
  <si>
    <t xml:space="preserve">피평가자 성명</t>
  </si>
  <si>
    <t xml:space="preserve">사번</t>
  </si>
  <si>
    <t xml:space="preserve">직급</t>
  </si>
  <si>
    <t xml:space="preserve">직책</t>
  </si>
  <si>
    <t xml:space="preserve">소속 파트</t>
  </si>
  <si>
    <t xml:space="preserve">평가기간</t>
  </si>
  <si>
    <t xml:space="preserve">평가 트랙 ▼</t>
  </si>
  <si>
    <r>
      <rPr>
        <b val="true"/>
        <sz val="10"/>
        <color rgb="FF000000"/>
        <rFont val="Noto Sans CJK SC"/>
        <family val="2"/>
      </rPr>
      <t xml:space="preserve">실무트랙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치료사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선임치료사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</si>
  <si>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2. </t>
    </r>
    <r>
      <rPr>
        <b val="true"/>
        <sz val="11"/>
        <color rgb="FFFFFFFF"/>
        <rFont val="Noto Sans CJK SC"/>
        <family val="2"/>
      </rPr>
      <t xml:space="preserve">종합 집계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가중 자동 산출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</si>
  <si>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역량군</t>
  </si>
  <si>
    <t xml:space="preserve">평가자 평균</t>
  </si>
  <si>
    <t xml:space="preserve">가중치</t>
  </si>
  <si>
    <t xml:space="preserve">가중 점수</t>
  </si>
  <si>
    <t xml:space="preserve">종합 점수</t>
  </si>
  <si>
    <t xml:space="preserve">→</t>
  </si>
  <si>
    <t xml:space="preserve">종합 등급</t>
  </si>
  <si>
    <r>
      <rPr>
        <b val="true"/>
        <sz val="11"/>
        <color rgb="FFFFFFFF"/>
        <rFont val="맑은 고딕"/>
        <family val="0"/>
        <charset val="1"/>
      </rPr>
      <t xml:space="preserve">3. </t>
    </r>
    <r>
      <rPr>
        <b val="true"/>
        <sz val="11"/>
        <color rgb="FFFFFFFF"/>
        <rFont val="Noto Sans CJK SC"/>
        <family val="2"/>
      </rPr>
      <t xml:space="preserve">종합 의견 및 개발계획</t>
    </r>
    <r>
      <rPr>
        <b val="true"/>
        <sz val="11"/>
        <color rgb="FFFFFFFF"/>
        <rFont val="맑은 고딕"/>
        <family val="0"/>
        <charset val="1"/>
      </rPr>
      <t xml:space="preserve">(IDP)</t>
    </r>
  </si>
  <si>
    <r>
      <rPr>
        <b val="true"/>
        <sz val="10"/>
        <color rgb="FF000000"/>
        <rFont val="Noto Sans CJK SC"/>
        <family val="2"/>
      </rPr>
      <t xml:space="preserve">주요 강점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행동 근거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</si>
  <si>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개선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보완 영역</t>
    </r>
  </si>
  <si>
    <r>
      <rPr>
        <b val="true"/>
        <sz val="10"/>
        <color rgb="FF000000"/>
        <rFont val="Noto Sans CJK SC"/>
        <family val="2"/>
      </rPr>
      <t xml:space="preserve">차기 개발목표</t>
    </r>
    <r>
      <rPr>
        <b val="true"/>
        <sz val="10"/>
        <color rgb="FF000000"/>
        <rFont val="맑은 고딕"/>
        <family val="0"/>
        <charset val="1"/>
      </rPr>
      <t xml:space="preserve">(IDP)</t>
    </r>
  </si>
  <si>
    <r>
      <rPr>
        <b val="true"/>
        <sz val="10"/>
        <color rgb="FF000000"/>
        <rFont val="Noto Sans CJK SC"/>
        <family val="2"/>
      </rPr>
      <t xml:space="preserve">필요 교육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지원</t>
    </r>
  </si>
  <si>
    <r>
      <rPr>
        <b val="true"/>
        <sz val="11"/>
        <color rgb="FFFFFFFF"/>
        <rFont val="맑은 고딕"/>
        <family val="0"/>
        <charset val="1"/>
      </rPr>
      <t xml:space="preserve">4. </t>
    </r>
    <r>
      <rPr>
        <b val="true"/>
        <sz val="11"/>
        <color rgb="FFFFFFFF"/>
        <rFont val="Noto Sans CJK SC"/>
        <family val="2"/>
      </rPr>
      <t xml:space="preserve">확인</t>
    </r>
  </si>
  <si>
    <t xml:space="preserve">구분</t>
  </si>
  <si>
    <t xml:space="preserve">성명</t>
  </si>
  <si>
    <r>
      <rPr>
        <b val="true"/>
        <sz val="10"/>
        <color rgb="FF000000"/>
        <rFont val="Noto Sans CJK SC"/>
        <family val="2"/>
      </rPr>
      <t xml:space="preserve">서명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날인</t>
    </r>
  </si>
  <si>
    <t xml:space="preserve">일자</t>
  </si>
  <si>
    <t xml:space="preserve">면담 확인</t>
  </si>
  <si>
    <t xml:space="preserve">피평가자</t>
  </si>
  <si>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차 평가자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상급자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</si>
  <si>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차 평가자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검토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</si>
  <si>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※ 본 점수는 등급용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총괄</t>
    </r>
    <r>
      <rPr>
        <sz val="9"/>
        <color rgb="FF595959"/>
        <rFont val="맑은 고딕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결과입니다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개발용 코칭 기록은 별도 양식에 분리 관리하며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자기</t>
    </r>
    <r>
      <rPr>
        <sz val="9"/>
        <color rgb="FF595959"/>
        <rFont val="맑은 고딕"/>
        <family val="0"/>
        <charset val="1"/>
      </rPr>
      <t xml:space="preserve">-</t>
    </r>
    <r>
      <rPr>
        <sz val="9"/>
        <color rgb="FF595959"/>
        <rFont val="Noto Sans CJK SC"/>
        <family val="2"/>
      </rPr>
      <t xml:space="preserve">평가자 점수 격차가 큰 차원은 면담 시 우선 논의 대상으로 삼습니다</t>
    </r>
    <r>
      <rPr>
        <sz val="9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</si>
</sst>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6"/>
      <color rgb="FFFFFFFF"/>
      <name val="맑은 고딕"/>
      <family val="0"/>
      <charset val="1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sz val="9"/>
      <color rgb="FF000000"/>
      <name val="Noto Sans CJK SC"/>
      <family val="2"/>
    </font>
    <font>
      <sz val="9"/>
      <color rgb="FF000000"/>
      <name val="맑은 고딕"/>
      <family val="0"/>
      <charset val="1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name val="맑은 고딕"/>
      <family val="0"/>
      <charset val="1"/>
    </font>
    <font>
      <sz val="9"/>
      <color rgb="FFC00000"/>
      <name val="Noto Sans CJK SC"/>
      <family val="2"/>
    </font>
    <font>
      <sz val="9"/>
      <color rgb="FFC00000"/>
      <name val="맑은 고딕"/>
      <family val="0"/>
      <charset val="1"/>
    </font>
    <font>
      <b val="true"/>
      <sz val="15"/>
      <color rgb="FFFFFFFF"/>
      <name val="Noto Sans CJK SC"/>
      <family val="2"/>
    </font>
    <font>
      <sz val="10"/>
      <color rgb="FFFFFFFF"/>
      <name val="맑은 고딕"/>
      <family val="0"/>
      <charset val="1"/>
    </font>
    <font>
      <b val="true"/>
      <sz val="13"/>
      <color rgb="FF000000"/>
      <name val="맑은 고딕"/>
      <family val="0"/>
      <charset val="1"/>
    </font>
    <font>
      <b val="true"/>
      <sz val="12"/>
      <color rgb="FF00000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AF0FA"/>
      </patternFill>
    </fill>
    <fill>
      <patternFill patternType="solid">
        <fgColor rgb="FF2E5496"/>
        <bgColor rgb="FF1F3864"/>
      </patternFill>
    </fill>
    <fill>
      <patternFill patternType="solid">
        <fgColor rgb="FFEAF0FA"/>
        <bgColor rgb="FFF2F2F2"/>
      </patternFill>
    </fill>
    <fill>
      <patternFill patternType="solid">
        <fgColor rgb="FFD6E0F0"/>
        <bgColor rgb="FFEAF0FA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20"/>
    <col collapsed="false" customWidth="true" hidden="false" outlineLevel="0" max="6" min="6" style="0" width="14"/>
  </cols>
  <sheetData>
    <row r="2" customFormat="false" ht="23.8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</row>
    <row r="5" customFormat="false" ht="17.15" hidden="false" customHeight="true" outlineLevel="0" collapsed="false">
      <c r="B5" s="3" t="s">
        <v>2</v>
      </c>
      <c r="C5" s="3"/>
      <c r="D5" s="3"/>
      <c r="E5" s="3"/>
      <c r="F5" s="3"/>
    </row>
    <row r="6" customFormat="false" ht="18" hidden="false" customHeight="true" outlineLevel="0" collapsed="false">
      <c r="B6" s="4" t="s">
        <v>3</v>
      </c>
      <c r="C6" s="5" t="s">
        <v>4</v>
      </c>
      <c r="D6" s="5"/>
      <c r="E6" s="5"/>
      <c r="F6" s="5"/>
    </row>
    <row r="7" customFormat="false" ht="18" hidden="false" customHeight="true" outlineLevel="0" collapsed="false">
      <c r="B7" s="4" t="s">
        <v>5</v>
      </c>
      <c r="C7" s="5" t="s">
        <v>6</v>
      </c>
      <c r="D7" s="5"/>
      <c r="E7" s="5"/>
      <c r="F7" s="5"/>
    </row>
    <row r="8" customFormat="false" ht="31.5" hidden="false" customHeight="true" outlineLevel="0" collapsed="false">
      <c r="B8" s="4" t="s">
        <v>7</v>
      </c>
      <c r="C8" s="5" t="s">
        <v>8</v>
      </c>
      <c r="D8" s="5"/>
      <c r="E8" s="5"/>
      <c r="F8" s="5"/>
    </row>
    <row r="10" customFormat="false" ht="17.15" hidden="false" customHeight="true" outlineLevel="0" collapsed="false">
      <c r="B10" s="3" t="s">
        <v>9</v>
      </c>
      <c r="C10" s="3"/>
      <c r="D10" s="3"/>
      <c r="E10" s="3"/>
      <c r="F10" s="3"/>
    </row>
    <row r="11" customFormat="false" ht="15" hidden="false" customHeight="true" outlineLevel="0" collapsed="false">
      <c r="B11" s="6" t="s">
        <v>10</v>
      </c>
      <c r="C11" s="6" t="s">
        <v>11</v>
      </c>
      <c r="D11" s="7" t="s">
        <v>12</v>
      </c>
      <c r="E11" s="7"/>
      <c r="F11" s="7"/>
    </row>
    <row r="12" customFormat="false" ht="15" hidden="false" customHeight="true" outlineLevel="0" collapsed="false">
      <c r="B12" s="8" t="s">
        <v>13</v>
      </c>
      <c r="C12" s="9" t="s">
        <v>14</v>
      </c>
      <c r="D12" s="10" t="s">
        <v>15</v>
      </c>
      <c r="E12" s="10"/>
      <c r="F12" s="10"/>
    </row>
    <row r="13" customFormat="false" ht="15" hidden="false" customHeight="true" outlineLevel="0" collapsed="false">
      <c r="B13" s="8" t="s">
        <v>16</v>
      </c>
      <c r="C13" s="9" t="s">
        <v>17</v>
      </c>
      <c r="D13" s="10" t="s">
        <v>18</v>
      </c>
      <c r="E13" s="10"/>
      <c r="F13" s="10"/>
    </row>
    <row r="14" customFormat="false" ht="15" hidden="false" customHeight="true" outlineLevel="0" collapsed="false">
      <c r="B14" s="8" t="s">
        <v>19</v>
      </c>
      <c r="C14" s="9" t="s">
        <v>20</v>
      </c>
      <c r="D14" s="10" t="s">
        <v>21</v>
      </c>
      <c r="E14" s="10"/>
      <c r="F14" s="10"/>
    </row>
    <row r="15" customFormat="false" ht="15" hidden="false" customHeight="true" outlineLevel="0" collapsed="false">
      <c r="B15" s="8" t="s">
        <v>22</v>
      </c>
      <c r="C15" s="9" t="s">
        <v>23</v>
      </c>
      <c r="D15" s="10" t="s">
        <v>24</v>
      </c>
      <c r="E15" s="10"/>
      <c r="F15" s="10"/>
    </row>
    <row r="16" customFormat="false" ht="15" hidden="false" customHeight="true" outlineLevel="0" collapsed="false">
      <c r="B16" s="8" t="s">
        <v>25</v>
      </c>
      <c r="C16" s="9" t="s">
        <v>26</v>
      </c>
      <c r="D16" s="10" t="s">
        <v>27</v>
      </c>
      <c r="E16" s="10"/>
      <c r="F16" s="10"/>
    </row>
    <row r="18" customFormat="false" ht="17.15" hidden="false" customHeight="true" outlineLevel="0" collapsed="false">
      <c r="B18" s="3" t="s">
        <v>28</v>
      </c>
      <c r="C18" s="3"/>
      <c r="D18" s="3"/>
      <c r="E18" s="3"/>
      <c r="F18" s="3"/>
    </row>
    <row r="19" customFormat="false" ht="15" hidden="false" customHeight="false" outlineLevel="0" collapsed="false">
      <c r="B19" s="11" t="s">
        <v>29</v>
      </c>
      <c r="C19" s="6" t="s">
        <v>30</v>
      </c>
      <c r="D19" s="6" t="s">
        <v>31</v>
      </c>
      <c r="E19" s="6" t="s">
        <v>32</v>
      </c>
      <c r="F19" s="6" t="s">
        <v>33</v>
      </c>
    </row>
    <row r="20" customFormat="false" ht="15" hidden="false" customHeight="false" outlineLevel="0" collapsed="false">
      <c r="B20" s="12" t="s">
        <v>34</v>
      </c>
      <c r="C20" s="13" t="n">
        <v>0.3</v>
      </c>
      <c r="D20" s="13" t="n">
        <v>0.7</v>
      </c>
      <c r="E20" s="13" t="n">
        <v>0</v>
      </c>
      <c r="F20" s="8" t="s">
        <v>35</v>
      </c>
    </row>
    <row r="21" customFormat="false" ht="15" hidden="false" customHeight="false" outlineLevel="0" collapsed="false">
      <c r="B21" s="12" t="s">
        <v>36</v>
      </c>
      <c r="C21" s="13" t="n">
        <v>0.25</v>
      </c>
      <c r="D21" s="13" t="n">
        <v>0.75</v>
      </c>
      <c r="E21" s="13" t="n">
        <v>0</v>
      </c>
      <c r="F21" s="8" t="s">
        <v>35</v>
      </c>
    </row>
    <row r="22" customFormat="false" ht="26.85" hidden="false" customHeight="false" outlineLevel="0" collapsed="false">
      <c r="B22" s="12" t="s">
        <v>37</v>
      </c>
      <c r="C22" s="13" t="n">
        <v>0.15</v>
      </c>
      <c r="D22" s="13" t="n">
        <v>0.25</v>
      </c>
      <c r="E22" s="13" t="n">
        <v>0.6</v>
      </c>
      <c r="F22" s="8" t="s">
        <v>35</v>
      </c>
    </row>
    <row r="24" customFormat="false" ht="17.15" hidden="false" customHeight="true" outlineLevel="0" collapsed="false">
      <c r="B24" s="3" t="s">
        <v>38</v>
      </c>
      <c r="C24" s="3"/>
      <c r="D24" s="3"/>
      <c r="E24" s="3"/>
      <c r="F24" s="3"/>
    </row>
    <row r="25" customFormat="false" ht="18" hidden="false" customHeight="true" outlineLevel="0" collapsed="false">
      <c r="B25" s="4" t="s">
        <v>39</v>
      </c>
      <c r="C25" s="5" t="s">
        <v>40</v>
      </c>
      <c r="D25" s="5"/>
      <c r="E25" s="5"/>
      <c r="F25" s="5"/>
    </row>
    <row r="26" customFormat="false" ht="31.5" hidden="false" customHeight="true" outlineLevel="0" collapsed="false">
      <c r="B26" s="4" t="s">
        <v>41</v>
      </c>
      <c r="C26" s="14" t="s">
        <v>42</v>
      </c>
      <c r="D26" s="14"/>
      <c r="E26" s="14"/>
      <c r="F26" s="14"/>
    </row>
    <row r="27" customFormat="false" ht="31.5" hidden="false" customHeight="true" outlineLevel="0" collapsed="false">
      <c r="B27" s="4" t="s">
        <v>43</v>
      </c>
      <c r="C27" s="5" t="s">
        <v>44</v>
      </c>
      <c r="D27" s="5"/>
      <c r="E27" s="5"/>
      <c r="F27" s="5"/>
    </row>
    <row r="29" customFormat="false" ht="17.15" hidden="false" customHeight="true" outlineLevel="0" collapsed="false">
      <c r="B29" s="3" t="s">
        <v>45</v>
      </c>
      <c r="C29" s="3"/>
      <c r="D29" s="3"/>
      <c r="E29" s="3"/>
      <c r="F29" s="3"/>
    </row>
    <row r="30" customFormat="false" ht="31.5" hidden="false" customHeight="true" outlineLevel="0" collapsed="false">
      <c r="B30" s="15" t="s">
        <v>46</v>
      </c>
      <c r="C30" s="5" t="s">
        <v>47</v>
      </c>
      <c r="D30" s="5"/>
      <c r="E30" s="5"/>
      <c r="F30" s="5"/>
    </row>
    <row r="31" customFormat="false" ht="31.5" hidden="false" customHeight="true" outlineLevel="0" collapsed="false">
      <c r="B31" s="15" t="s">
        <v>46</v>
      </c>
      <c r="C31" s="5" t="s">
        <v>48</v>
      </c>
      <c r="D31" s="5"/>
      <c r="E31" s="5"/>
      <c r="F31" s="5"/>
    </row>
    <row r="32" customFormat="false" ht="18" hidden="false" customHeight="true" outlineLevel="0" collapsed="false">
      <c r="B32" s="15" t="s">
        <v>46</v>
      </c>
      <c r="C32" s="5" t="s">
        <v>49</v>
      </c>
      <c r="D32" s="5"/>
      <c r="E32" s="5"/>
      <c r="F32" s="5"/>
    </row>
    <row r="33" customFormat="false" ht="31.5" hidden="false" customHeight="true" outlineLevel="0" collapsed="false">
      <c r="B33" s="15" t="s">
        <v>46</v>
      </c>
      <c r="C33" s="5" t="s">
        <v>50</v>
      </c>
      <c r="D33" s="5"/>
      <c r="E33" s="5"/>
      <c r="F33" s="5"/>
    </row>
  </sheetData>
  <mergeCells count="23">
    <mergeCell ref="B2:F2"/>
    <mergeCell ref="B3:F3"/>
    <mergeCell ref="B5:F5"/>
    <mergeCell ref="C6:F6"/>
    <mergeCell ref="C7:F7"/>
    <mergeCell ref="C8:F8"/>
    <mergeCell ref="B10:F10"/>
    <mergeCell ref="D11:F11"/>
    <mergeCell ref="D12:F12"/>
    <mergeCell ref="D13:F13"/>
    <mergeCell ref="D14:F14"/>
    <mergeCell ref="D15:F15"/>
    <mergeCell ref="D16:F16"/>
    <mergeCell ref="B18:F18"/>
    <mergeCell ref="B24:F24"/>
    <mergeCell ref="C25:F25"/>
    <mergeCell ref="C26:F26"/>
    <mergeCell ref="C27:F27"/>
    <mergeCell ref="B29:F29"/>
    <mergeCell ref="C30:F30"/>
    <mergeCell ref="C31:F31"/>
    <mergeCell ref="C32:F32"/>
    <mergeCell ref="C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4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22"/>
  </cols>
  <sheetData>
    <row r="1" customFormat="false" ht="21.6" hidden="false" customHeight="true" outlineLevel="0" collapsed="false">
      <c r="A1" s="16" t="s">
        <v>51</v>
      </c>
      <c r="B1" s="16"/>
      <c r="C1" s="16"/>
      <c r="D1" s="16"/>
      <c r="E1" s="16"/>
      <c r="F1" s="16"/>
      <c r="G1" s="16"/>
      <c r="H1" s="16"/>
    </row>
    <row r="2" customFormat="false" ht="30" hidden="false" customHeight="true" outlineLevel="0" collapsed="false">
      <c r="A2" s="17" t="s">
        <v>52</v>
      </c>
      <c r="B2" s="18" t="s">
        <v>53</v>
      </c>
      <c r="C2" s="18" t="s">
        <v>54</v>
      </c>
      <c r="D2" s="18" t="s">
        <v>55</v>
      </c>
      <c r="E2" s="18" t="s">
        <v>56</v>
      </c>
      <c r="F2" s="18" t="s">
        <v>57</v>
      </c>
      <c r="G2" s="18" t="s">
        <v>58</v>
      </c>
      <c r="H2" s="18" t="s">
        <v>59</v>
      </c>
    </row>
    <row r="3" customFormat="false" ht="90" hidden="false" customHeight="true" outlineLevel="0" collapsed="false">
      <c r="A3" s="8" t="n">
        <v>1</v>
      </c>
      <c r="B3" s="19" t="s">
        <v>60</v>
      </c>
      <c r="C3" s="20" t="s">
        <v>61</v>
      </c>
      <c r="D3" s="21" t="s">
        <v>62</v>
      </c>
      <c r="E3" s="22"/>
      <c r="F3" s="22"/>
      <c r="G3" s="9" t="str">
        <f aca="false">IF(OR(E3="",F3=""),"",F3-E3)</f>
        <v/>
      </c>
      <c r="H3" s="20"/>
    </row>
    <row r="4" customFormat="false" ht="90" hidden="false" customHeight="true" outlineLevel="0" collapsed="false">
      <c r="A4" s="8" t="n">
        <v>2</v>
      </c>
      <c r="B4" s="19" t="s">
        <v>63</v>
      </c>
      <c r="C4" s="20" t="s">
        <v>64</v>
      </c>
      <c r="D4" s="21" t="s">
        <v>65</v>
      </c>
      <c r="E4" s="22"/>
      <c r="F4" s="22"/>
      <c r="G4" s="9" t="str">
        <f aca="false">IF(OR(E4="",F4=""),"",F4-E4)</f>
        <v/>
      </c>
      <c r="H4" s="20"/>
    </row>
    <row r="5" customFormat="false" ht="90" hidden="false" customHeight="true" outlineLevel="0" collapsed="false">
      <c r="A5" s="8" t="n">
        <v>3</v>
      </c>
      <c r="B5" s="19" t="s">
        <v>66</v>
      </c>
      <c r="C5" s="20" t="s">
        <v>67</v>
      </c>
      <c r="D5" s="21" t="s">
        <v>68</v>
      </c>
      <c r="E5" s="22"/>
      <c r="F5" s="22"/>
      <c r="G5" s="9" t="str">
        <f aca="false">IF(OR(E5="",F5=""),"",F5-E5)</f>
        <v/>
      </c>
      <c r="H5" s="20"/>
    </row>
    <row r="6" customFormat="false" ht="90" hidden="false" customHeight="true" outlineLevel="0" collapsed="false">
      <c r="A6" s="8" t="n">
        <v>4</v>
      </c>
      <c r="B6" s="19" t="s">
        <v>69</v>
      </c>
      <c r="C6" s="20" t="s">
        <v>70</v>
      </c>
      <c r="D6" s="21" t="s">
        <v>71</v>
      </c>
      <c r="E6" s="22"/>
      <c r="F6" s="22"/>
      <c r="G6" s="9" t="str">
        <f aca="false">IF(OR(E6="",F6=""),"",F6-E6)</f>
        <v/>
      </c>
      <c r="H6" s="20"/>
    </row>
    <row r="7" customFormat="false" ht="15" hidden="false" customHeight="true" outlineLevel="0" collapsed="false">
      <c r="A7" s="23" t="s">
        <v>72</v>
      </c>
      <c r="B7" s="23"/>
      <c r="C7" s="23"/>
      <c r="D7" s="23"/>
      <c r="E7" s="24" t="str">
        <f aca="false">IFERROR(ROUND(AVERAGE(E3:E6),2),"")</f>
        <v/>
      </c>
      <c r="F7" s="24" t="str">
        <f aca="false">IFERROR(ROUND(AVERAGE(F3:F6),2),"")</f>
        <v/>
      </c>
      <c r="G7" s="25"/>
      <c r="H7" s="25"/>
    </row>
  </sheetData>
  <mergeCells count="3">
    <mergeCell ref="A1:H1"/>
    <mergeCell ref="A7:D7"/>
    <mergeCell ref="G7:H7"/>
  </mergeCells>
  <dataValidations count="1">
    <dataValidation allowBlank="true" error="1~5 사이의 정수를 입력하세요" errorStyle="stop" errorTitle="입력 오류" operator="between" showDropDown="false" showErrorMessage="true" showInputMessage="false" sqref="E3:F1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4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22"/>
  </cols>
  <sheetData>
    <row r="1" customFormat="false" ht="21.6" hidden="false" customHeight="true" outlineLevel="0" collapsed="false">
      <c r="A1" s="16" t="s">
        <v>73</v>
      </c>
      <c r="B1" s="16"/>
      <c r="C1" s="16"/>
      <c r="D1" s="16"/>
      <c r="E1" s="16"/>
      <c r="F1" s="16"/>
      <c r="G1" s="16"/>
      <c r="H1" s="16"/>
    </row>
    <row r="2" customFormat="false" ht="15" hidden="false" customHeight="true" outlineLevel="0" collapsed="false">
      <c r="A2" s="26" t="s">
        <v>74</v>
      </c>
      <c r="B2" s="26"/>
      <c r="C2" s="26"/>
      <c r="D2" s="26"/>
      <c r="E2" s="26"/>
      <c r="F2" s="26"/>
      <c r="G2" s="26"/>
      <c r="H2" s="26"/>
    </row>
    <row r="3" customFormat="false" ht="30" hidden="false" customHeight="true" outlineLevel="0" collapsed="false">
      <c r="A3" s="17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  <c r="G3" s="18" t="s">
        <v>58</v>
      </c>
      <c r="H3" s="18" t="s">
        <v>59</v>
      </c>
    </row>
    <row r="4" customFormat="false" ht="90" hidden="false" customHeight="true" outlineLevel="0" collapsed="false">
      <c r="A4" s="8" t="n">
        <v>1</v>
      </c>
      <c r="B4" s="19" t="s">
        <v>75</v>
      </c>
      <c r="C4" s="21" t="s">
        <v>76</v>
      </c>
      <c r="D4" s="21" t="s">
        <v>77</v>
      </c>
      <c r="E4" s="22"/>
      <c r="F4" s="22"/>
      <c r="G4" s="9" t="str">
        <f aca="false">IF(OR(E4="",F4=""),"",F4-E4)</f>
        <v/>
      </c>
      <c r="H4" s="20"/>
    </row>
    <row r="5" customFormat="false" ht="90" hidden="false" customHeight="true" outlineLevel="0" collapsed="false">
      <c r="A5" s="8" t="n">
        <v>2</v>
      </c>
      <c r="B5" s="19" t="s">
        <v>78</v>
      </c>
      <c r="C5" s="20" t="s">
        <v>79</v>
      </c>
      <c r="D5" s="21" t="s">
        <v>80</v>
      </c>
      <c r="E5" s="22"/>
      <c r="F5" s="22"/>
      <c r="G5" s="9" t="str">
        <f aca="false">IF(OR(E5="",F5=""),"",F5-E5)</f>
        <v/>
      </c>
      <c r="H5" s="20"/>
    </row>
    <row r="6" customFormat="false" ht="90" hidden="false" customHeight="true" outlineLevel="0" collapsed="false">
      <c r="A6" s="8" t="n">
        <v>3</v>
      </c>
      <c r="B6" s="19" t="s">
        <v>81</v>
      </c>
      <c r="C6" s="20" t="s">
        <v>82</v>
      </c>
      <c r="D6" s="21" t="s">
        <v>83</v>
      </c>
      <c r="E6" s="22"/>
      <c r="F6" s="22"/>
      <c r="G6" s="9" t="str">
        <f aca="false">IF(OR(E6="",F6=""),"",F6-E6)</f>
        <v/>
      </c>
      <c r="H6" s="20"/>
    </row>
    <row r="7" customFormat="false" ht="90" hidden="false" customHeight="true" outlineLevel="0" collapsed="false">
      <c r="A7" s="8" t="n">
        <v>4</v>
      </c>
      <c r="B7" s="19" t="s">
        <v>84</v>
      </c>
      <c r="C7" s="20" t="s">
        <v>85</v>
      </c>
      <c r="D7" s="21" t="s">
        <v>86</v>
      </c>
      <c r="E7" s="22"/>
      <c r="F7" s="22"/>
      <c r="G7" s="9" t="str">
        <f aca="false">IF(OR(E7="",F7=""),"",F7-E7)</f>
        <v/>
      </c>
      <c r="H7" s="20"/>
    </row>
    <row r="8" customFormat="false" ht="90" hidden="false" customHeight="true" outlineLevel="0" collapsed="false">
      <c r="A8" s="8" t="n">
        <v>5</v>
      </c>
      <c r="B8" s="19" t="s">
        <v>87</v>
      </c>
      <c r="C8" s="20" t="s">
        <v>88</v>
      </c>
      <c r="D8" s="21" t="s">
        <v>89</v>
      </c>
      <c r="E8" s="22"/>
      <c r="F8" s="22"/>
      <c r="G8" s="9" t="str">
        <f aca="false">IF(OR(E8="",F8=""),"",F8-E8)</f>
        <v/>
      </c>
      <c r="H8" s="20"/>
    </row>
    <row r="9" customFormat="false" ht="90" hidden="false" customHeight="true" outlineLevel="0" collapsed="false">
      <c r="A9" s="8" t="n">
        <v>6</v>
      </c>
      <c r="B9" s="19" t="s">
        <v>90</v>
      </c>
      <c r="C9" s="20" t="s">
        <v>91</v>
      </c>
      <c r="D9" s="21" t="s">
        <v>92</v>
      </c>
      <c r="E9" s="22"/>
      <c r="F9" s="22"/>
      <c r="G9" s="9" t="str">
        <f aca="false">IF(OR(E9="",F9=""),"",F9-E9)</f>
        <v/>
      </c>
      <c r="H9" s="20"/>
    </row>
    <row r="10" customFormat="false" ht="90" hidden="false" customHeight="true" outlineLevel="0" collapsed="false">
      <c r="A10" s="8" t="n">
        <v>7</v>
      </c>
      <c r="B10" s="19" t="s">
        <v>93</v>
      </c>
      <c r="C10" s="20" t="s">
        <v>94</v>
      </c>
      <c r="D10" s="21" t="s">
        <v>95</v>
      </c>
      <c r="E10" s="22"/>
      <c r="F10" s="22"/>
      <c r="G10" s="9" t="str">
        <f aca="false">IF(OR(E10="",F10=""),"",F10-E10)</f>
        <v/>
      </c>
      <c r="H10" s="20"/>
    </row>
    <row r="11" customFormat="false" ht="15" hidden="false" customHeight="true" outlineLevel="0" collapsed="false">
      <c r="A11" s="23" t="s">
        <v>72</v>
      </c>
      <c r="B11" s="23"/>
      <c r="C11" s="23"/>
      <c r="D11" s="23"/>
      <c r="E11" s="6" t="str">
        <f aca="false">IFERROR(ROUND(AVERAGE(E4:E10),2),"")</f>
        <v/>
      </c>
      <c r="F11" s="6" t="str">
        <f aca="false">IFERROR(ROUND(AVERAGE(F4:F10),2),"")</f>
        <v/>
      </c>
      <c r="G11" s="25"/>
      <c r="H11" s="25"/>
    </row>
  </sheetData>
  <mergeCells count="4">
    <mergeCell ref="A1:H1"/>
    <mergeCell ref="A2:H2"/>
    <mergeCell ref="A11:D11"/>
    <mergeCell ref="G11:H11"/>
  </mergeCells>
  <dataValidations count="1">
    <dataValidation allowBlank="true" error="1~5 사이의 정수를 입력하세요" errorStyle="stop" errorTitle="입력 오류" operator="between" showDropDown="false" showErrorMessage="true" showInputMessage="false" sqref="E3:F1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4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22"/>
  </cols>
  <sheetData>
    <row r="1" customFormat="false" ht="21.6" hidden="false" customHeight="true" outlineLevel="0" collapsed="false">
      <c r="A1" s="16" t="s">
        <v>96</v>
      </c>
      <c r="B1" s="16"/>
      <c r="C1" s="16"/>
      <c r="D1" s="16"/>
      <c r="E1" s="16"/>
      <c r="F1" s="16"/>
      <c r="G1" s="16"/>
      <c r="H1" s="16"/>
    </row>
    <row r="2" customFormat="false" ht="15" hidden="false" customHeight="true" outlineLevel="0" collapsed="false">
      <c r="A2" s="26" t="s">
        <v>97</v>
      </c>
      <c r="B2" s="26"/>
      <c r="C2" s="26"/>
      <c r="D2" s="26"/>
      <c r="E2" s="26"/>
      <c r="F2" s="26"/>
      <c r="G2" s="26"/>
      <c r="H2" s="26"/>
    </row>
    <row r="3" customFormat="false" ht="30" hidden="false" customHeight="true" outlineLevel="0" collapsed="false">
      <c r="A3" s="17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  <c r="G3" s="18" t="s">
        <v>58</v>
      </c>
      <c r="H3" s="18" t="s">
        <v>59</v>
      </c>
    </row>
    <row r="4" customFormat="false" ht="90" hidden="false" customHeight="true" outlineLevel="0" collapsed="false">
      <c r="A4" s="8" t="n">
        <v>1</v>
      </c>
      <c r="B4" s="19" t="s">
        <v>98</v>
      </c>
      <c r="C4" s="20" t="s">
        <v>99</v>
      </c>
      <c r="D4" s="21" t="s">
        <v>100</v>
      </c>
      <c r="E4" s="22"/>
      <c r="F4" s="22"/>
      <c r="G4" s="9" t="str">
        <f aca="false">IF(OR(E4="",F4=""),"",F4-E4)</f>
        <v/>
      </c>
      <c r="H4" s="20"/>
    </row>
    <row r="5" customFormat="false" ht="90" hidden="false" customHeight="true" outlineLevel="0" collapsed="false">
      <c r="A5" s="8" t="n">
        <v>2</v>
      </c>
      <c r="B5" s="19" t="s">
        <v>101</v>
      </c>
      <c r="C5" s="20" t="s">
        <v>102</v>
      </c>
      <c r="D5" s="21" t="s">
        <v>103</v>
      </c>
      <c r="E5" s="22"/>
      <c r="F5" s="22"/>
      <c r="G5" s="9" t="str">
        <f aca="false">IF(OR(E5="",F5=""),"",F5-E5)</f>
        <v/>
      </c>
      <c r="H5" s="20"/>
    </row>
    <row r="6" customFormat="false" ht="90" hidden="false" customHeight="true" outlineLevel="0" collapsed="false">
      <c r="A6" s="8" t="n">
        <v>3</v>
      </c>
      <c r="B6" s="19" t="s">
        <v>104</v>
      </c>
      <c r="C6" s="20" t="s">
        <v>105</v>
      </c>
      <c r="D6" s="21" t="s">
        <v>106</v>
      </c>
      <c r="E6" s="22"/>
      <c r="F6" s="22"/>
      <c r="G6" s="9" t="str">
        <f aca="false">IF(OR(E6="",F6=""),"",F6-E6)</f>
        <v/>
      </c>
      <c r="H6" s="20"/>
    </row>
    <row r="7" customFormat="false" ht="90" hidden="false" customHeight="true" outlineLevel="0" collapsed="false">
      <c r="A7" s="8" t="n">
        <v>4</v>
      </c>
      <c r="B7" s="19" t="s">
        <v>107</v>
      </c>
      <c r="C7" s="20" t="s">
        <v>108</v>
      </c>
      <c r="D7" s="21" t="s">
        <v>109</v>
      </c>
      <c r="E7" s="22"/>
      <c r="F7" s="22"/>
      <c r="G7" s="9" t="str">
        <f aca="false">IF(OR(E7="",F7=""),"",F7-E7)</f>
        <v/>
      </c>
      <c r="H7" s="20"/>
    </row>
    <row r="8" customFormat="false" ht="90" hidden="false" customHeight="true" outlineLevel="0" collapsed="false">
      <c r="A8" s="8" t="n">
        <v>5</v>
      </c>
      <c r="B8" s="19" t="s">
        <v>110</v>
      </c>
      <c r="C8" s="20" t="s">
        <v>111</v>
      </c>
      <c r="D8" s="21" t="s">
        <v>112</v>
      </c>
      <c r="E8" s="22"/>
      <c r="F8" s="22"/>
      <c r="G8" s="9" t="str">
        <f aca="false">IF(OR(E8="",F8=""),"",F8-E8)</f>
        <v/>
      </c>
      <c r="H8" s="20"/>
    </row>
    <row r="9" customFormat="false" ht="15" hidden="false" customHeight="true" outlineLevel="0" collapsed="false">
      <c r="A9" s="23" t="s">
        <v>72</v>
      </c>
      <c r="B9" s="23"/>
      <c r="C9" s="23"/>
      <c r="D9" s="23"/>
      <c r="E9" s="24" t="str">
        <f aca="false">IFERROR(ROUND(AVERAGE(E4:E8),2),"")</f>
        <v/>
      </c>
      <c r="F9" s="24" t="str">
        <f aca="false">IFERROR(ROUND(AVERAGE(F4:F8),2),"")</f>
        <v/>
      </c>
      <c r="G9" s="25"/>
      <c r="H9" s="25"/>
    </row>
  </sheetData>
  <mergeCells count="4">
    <mergeCell ref="A1:H1"/>
    <mergeCell ref="A2:H2"/>
    <mergeCell ref="A9:D9"/>
    <mergeCell ref="G9:H9"/>
  </mergeCells>
  <dataValidations count="1">
    <dataValidation allowBlank="true" error="1~5 사이의 정수를 입력하세요" errorStyle="stop" errorTitle="입력 오류" operator="between" showDropDown="false" showErrorMessage="true" showInputMessage="false" sqref="E3:F1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4"/>
  </cols>
  <sheetData>
    <row r="2" customFormat="false" ht="23.1" hidden="false" customHeight="true" outlineLevel="0" collapsed="false">
      <c r="B2" s="27" t="s">
        <v>113</v>
      </c>
      <c r="C2" s="27"/>
      <c r="D2" s="27"/>
      <c r="E2" s="27"/>
      <c r="F2" s="27"/>
      <c r="G2" s="27"/>
    </row>
    <row r="4" customFormat="false" ht="17.15" hidden="false" customHeight="true" outlineLevel="0" collapsed="false">
      <c r="B4" s="3" t="s">
        <v>114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28" t="s">
        <v>115</v>
      </c>
      <c r="C5" s="29"/>
      <c r="D5" s="28" t="s">
        <v>116</v>
      </c>
      <c r="E5" s="30"/>
      <c r="F5" s="30"/>
      <c r="G5" s="30"/>
    </row>
    <row r="6" customFormat="false" ht="15" hidden="false" customHeight="false" outlineLevel="0" collapsed="false">
      <c r="B6" s="28" t="s">
        <v>117</v>
      </c>
      <c r="C6" s="29"/>
      <c r="D6" s="28" t="s">
        <v>118</v>
      </c>
      <c r="E6" s="30"/>
      <c r="F6" s="30"/>
      <c r="G6" s="30"/>
    </row>
    <row r="7" customFormat="false" ht="15" hidden="false" customHeight="false" outlineLevel="0" collapsed="false">
      <c r="B7" s="28" t="s">
        <v>119</v>
      </c>
      <c r="C7" s="29"/>
      <c r="D7" s="28" t="s">
        <v>120</v>
      </c>
      <c r="E7" s="30"/>
      <c r="F7" s="30"/>
      <c r="G7" s="30"/>
    </row>
    <row r="8" customFormat="false" ht="15" hidden="false" customHeight="true" outlineLevel="0" collapsed="false">
      <c r="B8" s="31" t="s">
        <v>121</v>
      </c>
      <c r="C8" s="32" t="s">
        <v>122</v>
      </c>
      <c r="D8" s="32"/>
      <c r="E8" s="32"/>
      <c r="F8" s="32"/>
      <c r="G8" s="32"/>
    </row>
    <row r="10" customFormat="false" ht="17.15" hidden="false" customHeight="true" outlineLevel="0" collapsed="false">
      <c r="B10" s="3" t="s">
        <v>123</v>
      </c>
      <c r="C10" s="3"/>
      <c r="D10" s="3"/>
      <c r="E10" s="3"/>
      <c r="F10" s="3"/>
      <c r="G10" s="3"/>
    </row>
    <row r="11" customFormat="false" ht="15" hidden="false" customHeight="false" outlineLevel="0" collapsed="false">
      <c r="B11" s="6" t="s">
        <v>124</v>
      </c>
      <c r="C11" s="6" t="s">
        <v>125</v>
      </c>
      <c r="D11" s="6" t="s">
        <v>126</v>
      </c>
      <c r="E11" s="6" t="s">
        <v>127</v>
      </c>
    </row>
    <row r="12" customFormat="false" ht="15" hidden="false" customHeight="false" outlineLevel="0" collapsed="false">
      <c r="B12" s="28" t="s">
        <v>30</v>
      </c>
      <c r="C12" s="9" t="str">
        <f aca="false">IFERROR('② 공통역량'!F7,"-")</f>
        <v/>
      </c>
      <c r="D12" s="13" t="n">
        <f aca="false">IF($C$8="실무트랙 (치료사·선임치료사)",0.3,IF($C$8="전문가트랙 (책임·수석치료사)",0.25,IF($C$8="관리트랙 (부팀장·팀장·실장·센터장)",0.15,0)))</f>
        <v>0.3</v>
      </c>
      <c r="E12" s="33" t="n">
        <f aca="false">IF(OR(C12="-",C12=""),0,C12*D12)</f>
        <v>0</v>
      </c>
    </row>
    <row r="13" customFormat="false" ht="15" hidden="false" customHeight="false" outlineLevel="0" collapsed="false">
      <c r="B13" s="28" t="s">
        <v>31</v>
      </c>
      <c r="C13" s="9" t="str">
        <f aca="false">IFERROR('③ 직무역량'!F11,"-")</f>
        <v/>
      </c>
      <c r="D13" s="13" t="n">
        <f aca="false">IF($C$8="실무트랙 (치료사·선임치료사)",0.7,IF($C$8="전문가트랙 (책임·수석치료사)",0.75,IF($C$8="관리트랙 (부팀장·팀장·실장·센터장)",0.25,0)))</f>
        <v>0.7</v>
      </c>
      <c r="E13" s="33" t="n">
        <f aca="false">IF(OR(C13="-",C13=""),0,C13*D13)</f>
        <v>0</v>
      </c>
    </row>
    <row r="14" customFormat="false" ht="15" hidden="false" customHeight="false" outlineLevel="0" collapsed="false">
      <c r="B14" s="28" t="s">
        <v>32</v>
      </c>
      <c r="C14" s="9" t="str">
        <f aca="false">IFERROR('④ 리더십역량'!F9,"-")</f>
        <v/>
      </c>
      <c r="D14" s="13" t="n">
        <f aca="false">IF($C$8="실무트랙 (치료사·선임치료사)",0,IF($C$8="전문가트랙 (책임·수석치료사)",0,IF($C$8="관리트랙 (부팀장·팀장·실장·센터장)",0.6,0)))</f>
        <v>0</v>
      </c>
      <c r="E14" s="33" t="n">
        <f aca="false">IF(OR(C14="-",C14=""),0,C14*D14)</f>
        <v>0</v>
      </c>
    </row>
    <row r="15" customFormat="false" ht="16.4" hidden="false" customHeight="true" outlineLevel="0" collapsed="false">
      <c r="B15" s="34" t="s">
        <v>128</v>
      </c>
      <c r="C15" s="35" t="s">
        <v>129</v>
      </c>
      <c r="D15" s="35"/>
      <c r="E15" s="36" t="n">
        <f aca="false">ROUND(E12+E13+E14,2)</f>
        <v>0</v>
      </c>
    </row>
    <row r="16" customFormat="false" ht="19.4" hidden="false" customHeight="true" outlineLevel="0" collapsed="false">
      <c r="B16" s="34" t="s">
        <v>130</v>
      </c>
      <c r="C16" s="35" t="s">
        <v>129</v>
      </c>
      <c r="D16" s="35"/>
      <c r="E16" s="37" t="str">
        <f aca="false">IF(E15&lt;1,"미입력",IF(E15&gt;=4.5,"S (탁월)",IF(E15&gt;=3.5,"A (우수)",IF(E15&gt;=2.5,"B (기대충족)",IF(E15&gt;=1.5,"C (개선필요)","D (미흡)")))))</f>
        <v>미입력</v>
      </c>
    </row>
    <row r="18" customFormat="false" ht="17.15" hidden="false" customHeight="true" outlineLevel="0" collapsed="false">
      <c r="B18" s="3" t="s">
        <v>131</v>
      </c>
      <c r="C18" s="3"/>
      <c r="D18" s="3"/>
      <c r="E18" s="3"/>
      <c r="F18" s="3"/>
      <c r="G18" s="3"/>
    </row>
    <row r="19" customFormat="false" ht="43.5" hidden="false" customHeight="true" outlineLevel="0" collapsed="false">
      <c r="B19" s="4" t="s">
        <v>132</v>
      </c>
      <c r="C19" s="38"/>
      <c r="D19" s="38"/>
      <c r="E19" s="38"/>
      <c r="F19" s="38"/>
      <c r="G19" s="38"/>
    </row>
    <row r="20" customFormat="false" ht="43.5" hidden="false" customHeight="true" outlineLevel="0" collapsed="false">
      <c r="B20" s="4" t="s">
        <v>133</v>
      </c>
      <c r="C20" s="38"/>
      <c r="D20" s="38"/>
      <c r="E20" s="38"/>
      <c r="F20" s="38"/>
      <c r="G20" s="38"/>
    </row>
    <row r="21" customFormat="false" ht="43.5" hidden="false" customHeight="true" outlineLevel="0" collapsed="false">
      <c r="B21" s="4" t="s">
        <v>134</v>
      </c>
      <c r="C21" s="38"/>
      <c r="D21" s="38"/>
      <c r="E21" s="38"/>
      <c r="F21" s="38"/>
      <c r="G21" s="38"/>
    </row>
    <row r="22" customFormat="false" ht="43.5" hidden="false" customHeight="true" outlineLevel="0" collapsed="false">
      <c r="B22" s="4" t="s">
        <v>135</v>
      </c>
      <c r="C22" s="38"/>
      <c r="D22" s="38"/>
      <c r="E22" s="38"/>
      <c r="F22" s="38"/>
      <c r="G22" s="38"/>
    </row>
    <row r="24" customFormat="false" ht="17.15" hidden="false" customHeight="true" outlineLevel="0" collapsed="false">
      <c r="B24" s="3" t="s">
        <v>136</v>
      </c>
      <c r="C24" s="3"/>
      <c r="D24" s="3"/>
      <c r="E24" s="3"/>
      <c r="F24" s="3"/>
      <c r="G24" s="3"/>
    </row>
    <row r="25" customFormat="false" ht="15" hidden="false" customHeight="true" outlineLevel="0" collapsed="false">
      <c r="B25" s="6" t="s">
        <v>137</v>
      </c>
      <c r="C25" s="6" t="s">
        <v>138</v>
      </c>
      <c r="D25" s="6" t="s">
        <v>139</v>
      </c>
      <c r="E25" s="6" t="s">
        <v>140</v>
      </c>
      <c r="F25" s="39" t="s">
        <v>141</v>
      </c>
      <c r="G25" s="39"/>
    </row>
    <row r="26" customFormat="false" ht="25.5" hidden="false" customHeight="true" outlineLevel="0" collapsed="false">
      <c r="B26" s="40" t="s">
        <v>142</v>
      </c>
      <c r="C26" s="29"/>
      <c r="D26" s="29"/>
      <c r="E26" s="29"/>
      <c r="F26" s="30"/>
      <c r="G26" s="30"/>
    </row>
    <row r="27" customFormat="false" ht="25.5" hidden="false" customHeight="true" outlineLevel="0" collapsed="false">
      <c r="B27" s="41" t="s">
        <v>143</v>
      </c>
      <c r="C27" s="29"/>
      <c r="D27" s="29"/>
      <c r="E27" s="29"/>
      <c r="F27" s="30"/>
      <c r="G27" s="30"/>
    </row>
    <row r="28" customFormat="false" ht="25.5" hidden="false" customHeight="true" outlineLevel="0" collapsed="false">
      <c r="B28" s="41" t="s">
        <v>144</v>
      </c>
      <c r="C28" s="29"/>
      <c r="D28" s="29"/>
      <c r="E28" s="29"/>
      <c r="F28" s="30"/>
      <c r="G28" s="30"/>
    </row>
    <row r="30" customFormat="false" ht="30" hidden="false" customHeight="true" outlineLevel="0" collapsed="false">
      <c r="B30" s="42" t="s">
        <v>145</v>
      </c>
      <c r="C30" s="42"/>
      <c r="D30" s="42"/>
      <c r="E30" s="42"/>
      <c r="F30" s="42"/>
      <c r="G30" s="42"/>
    </row>
  </sheetData>
  <mergeCells count="20">
    <mergeCell ref="B2:G2"/>
    <mergeCell ref="B4:G4"/>
    <mergeCell ref="E5:G5"/>
    <mergeCell ref="E6:G6"/>
    <mergeCell ref="E7:G7"/>
    <mergeCell ref="C8:G8"/>
    <mergeCell ref="B10:G10"/>
    <mergeCell ref="C15:D15"/>
    <mergeCell ref="C16:D16"/>
    <mergeCell ref="B18:G18"/>
    <mergeCell ref="C19:G19"/>
    <mergeCell ref="C20:G20"/>
    <mergeCell ref="C21:G21"/>
    <mergeCell ref="C22:G22"/>
    <mergeCell ref="B24:G24"/>
    <mergeCell ref="F25:G25"/>
    <mergeCell ref="F26:G26"/>
    <mergeCell ref="F27:G27"/>
    <mergeCell ref="F28:G28"/>
    <mergeCell ref="B30:G30"/>
  </mergeCells>
  <dataValidations count="1">
    <dataValidation allowBlank="false" errorStyle="stop" operator="between" showDropDown="false" showErrorMessage="false" showInputMessage="false" sqref="C8" type="list">
      <formula1>"실무트랙 (치료사·선임치료사),전문가트랙 (책임·수석치료사),관리트랙 (부팀장·팀장·실장·센터장)"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2026-06-17T14:19:54Z</dcterms:created>
  <dc:creator>openpyxl</dc:creator>
  <dc:description/>
  <dc:language>en-US</dc:language>
  <cp:lastModifiedBy/>
  <dcterms:modified xsi:type="dcterms:W3CDTF">2026-06-17T14:19:54Z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